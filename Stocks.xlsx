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G13" i="1"/>
  <c r="G14"/>
  <c r="G15"/>
  <c r="G16"/>
  <c r="G17"/>
  <c r="G18"/>
  <c r="G19"/>
  <c r="G12"/>
  <c r="E13"/>
  <c r="E14"/>
  <c r="E15"/>
  <c r="E16"/>
  <c r="E17"/>
  <c r="E18"/>
  <c r="E19"/>
  <c r="E12"/>
</calcChain>
</file>

<file path=xl/sharedStrings.xml><?xml version="1.0" encoding="utf-8"?>
<sst xmlns="http://schemas.openxmlformats.org/spreadsheetml/2006/main" count="33" uniqueCount="32">
  <si>
    <t>Name</t>
  </si>
  <si>
    <t>Unique Client Code</t>
  </si>
  <si>
    <t>Holdings statement for stocks as on 03-05-2026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</si>
  <si>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</si>
  <si>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</si>
  <si>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</si>
  <si>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</si>
  <si>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</si>
  <si>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</si>
  <si>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</si>
  <si>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</si>
  <si>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</si>
  <si>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</si>
  <si>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</si>
  <si>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INE483A01010</t>
  </si>
  <si>
    <t>gopigowda</t>
  </si>
  <si>
    <t>GopiGowda</t>
  </si>
  <si>
    <t>CENTRALBK</t>
  </si>
  <si>
    <t>GRAVITA</t>
  </si>
  <si>
    <t>INE024L01027</t>
  </si>
  <si>
    <t>HAPPSTMNDS</t>
  </si>
  <si>
    <t>INE419U01012</t>
  </si>
  <si>
    <t>IDEA</t>
  </si>
  <si>
    <t>INE669E01016</t>
  </si>
  <si>
    <t>IPL</t>
  </si>
  <si>
    <t>INE0D6701023</t>
  </si>
  <si>
    <t>KAYNES</t>
  </si>
  <si>
    <t>INE918Z01012</t>
  </si>
  <si>
    <t>SAGILITY</t>
  </si>
  <si>
    <t>INE0W2G01015</t>
  </si>
  <si>
    <t>UCOBANK</t>
  </si>
  <si>
    <t>INE691A01018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</si>
</sst>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H23" sqref="H23"/>
    </sheetView>
  </sheetViews>
  <sheetFormatPr defaultRowHeight="14.5"/>
  <cols>
    <col min="1" max="1" width="50.90625" bestFit="1" customWidth="1"/>
    <col min="2" max="2" width="17.81640625" bestFit="1" customWidth="1"/>
    <col min="3" max="3" width="10.1796875" bestFit="1" customWidth="1"/>
    <col min="4" max="4" width="20" bestFit="1" customWidth="1"/>
    <col min="5" max="5" width="11.36328125" bestFit="1" customWidth="1"/>
    <col min="6" max="6" width="14.54296875" bestFit="1" customWidth="1"/>
    <col min="7" max="7" width="15" bestFit="1" customWidth="1"/>
    <col min="8" max="8" width="17" bestFit="1" customWidth="1"/>
  </cols>
  <sheetData>
    <row r="1" spans="1:8">
      <c r="A1" s="1" t="s">
        <v>0</v>
      </c>
      <c r="B1" t="s">
        <v>16</v>
      </c>
    </row>
    <row r="2" spans="1:8">
      <c r="A2" s="1" t="s">
        <v>1</v>
      </c>
      <c r="B2" t="s">
        <v>15</v>
      </c>
    </row>
    <row r="4" spans="1:8">
      <c r="A4" s="1" t="s">
        <v>2</v>
      </c>
    </row>
    <row r="6" spans="1:8">
      <c r="A6" s="1" t="s">
        <v>3</v>
      </c>
    </row>
    <row r="7" spans="1:8">
      <c r="A7" t="s">
        <v>4</v>
      </c>
      <c r="B7" s="2">
        <v>2222871.38</v>
      </c>
    </row>
    <row r="8" spans="1:8">
      <c r="A8" t="s">
        <v>5</v>
      </c>
      <c r="B8" s="2">
        <v>2282889.08</v>
      </c>
    </row>
    <row r="9" spans="1:8">
      <c r="A9" t="s">
        <v>6</v>
      </c>
      <c r="B9" s="2">
        <v>60017.7</v>
      </c>
    </row>
    <row r="11" spans="1:8">
      <c r="A11" s="1" t="s">
        <v>7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6</v>
      </c>
    </row>
    <row r="12" spans="1:8">
      <c r="A12" t="s">
        <v>17</v>
      </c>
      <c r="B12" t="s">
        <v>14</v>
      </c>
      <c r="C12" s="2">
        <v>90</v>
      </c>
      <c r="D12" s="2">
        <v>46.033999999999999</v>
      </c>
      <c r="E12">
        <f>(C12 * D12)</f>
        <v>4143.0599999999995</v>
      </c>
      <c r="F12" s="2">
        <v>30.79</v>
      </c>
      <c r="G12">
        <f>(C12 * F12)</f>
        <v>2771.1</v>
      </c>
      <c r="H12" s="2">
        <v>-1371.96</v>
      </c>
    </row>
    <row r="13" spans="1:8">
      <c r="A13" t="s">
        <v>18</v>
      </c>
      <c r="B13" t="s">
        <v>19</v>
      </c>
      <c r="C13" s="2">
        <v>62</v>
      </c>
      <c r="D13" s="2">
        <v>1651.5</v>
      </c>
      <c r="E13">
        <f t="shared" ref="E13:E19" si="0">(C13 * D13)</f>
        <v>102393</v>
      </c>
      <c r="F13" s="2">
        <v>1614.25</v>
      </c>
      <c r="G13">
        <f t="shared" ref="G13:G19" si="1">(C13 * F13)</f>
        <v>100083.5</v>
      </c>
      <c r="H13" s="2">
        <v>-2309.5</v>
      </c>
    </row>
    <row r="14" spans="1:8">
      <c r="A14" t="s">
        <v>20</v>
      </c>
      <c r="B14" t="s">
        <v>21</v>
      </c>
      <c r="C14" s="2">
        <v>54</v>
      </c>
      <c r="D14" s="2">
        <v>799.9</v>
      </c>
      <c r="E14">
        <f t="shared" si="0"/>
        <v>43194.6</v>
      </c>
      <c r="F14" s="2">
        <v>372.7</v>
      </c>
      <c r="G14">
        <f t="shared" si="1"/>
        <v>20125.8</v>
      </c>
      <c r="H14" s="2">
        <v>-23068.799999999999</v>
      </c>
    </row>
    <row r="15" spans="1:8">
      <c r="A15" t="s">
        <v>22</v>
      </c>
      <c r="B15" t="s">
        <v>23</v>
      </c>
      <c r="C15" s="2">
        <v>30</v>
      </c>
      <c r="D15" s="2">
        <v>9.94</v>
      </c>
      <c r="E15">
        <f t="shared" si="0"/>
        <v>298.2</v>
      </c>
      <c r="F15" s="2">
        <v>13.99</v>
      </c>
      <c r="G15">
        <f t="shared" si="1"/>
        <v>419.7</v>
      </c>
      <c r="H15" s="2">
        <v>121.5</v>
      </c>
    </row>
    <row r="16" spans="1:8">
      <c r="A16" t="s">
        <v>24</v>
      </c>
      <c r="B16" t="s">
        <v>25</v>
      </c>
      <c r="C16" s="2">
        <v>6640</v>
      </c>
      <c r="D16" s="2">
        <v>140.8955</v>
      </c>
      <c r="E16">
        <f t="shared" si="0"/>
        <v>935546.12</v>
      </c>
      <c r="F16" s="2">
        <v>164.4</v>
      </c>
      <c r="G16">
        <f t="shared" si="1"/>
        <v>1091616</v>
      </c>
      <c r="H16" s="2">
        <v>156070</v>
      </c>
    </row>
    <row r="17" spans="1:8">
      <c r="A17" t="s">
        <v>26</v>
      </c>
      <c r="B17" t="s">
        <v>27</v>
      </c>
      <c r="C17" s="2">
        <v>138</v>
      </c>
      <c r="D17" s="2">
        <v>3145</v>
      </c>
      <c r="E17">
        <f t="shared" si="0"/>
        <v>434010</v>
      </c>
      <c r="F17" s="2">
        <v>3133.6</v>
      </c>
      <c r="G17">
        <f t="shared" si="1"/>
        <v>432436.8</v>
      </c>
      <c r="H17" s="2">
        <v>-1573.2</v>
      </c>
    </row>
    <row r="18" spans="1:8">
      <c r="A18" t="s">
        <v>28</v>
      </c>
      <c r="B18" t="s">
        <v>29</v>
      </c>
      <c r="C18" s="2">
        <v>14430</v>
      </c>
      <c r="D18" s="2">
        <v>43.01</v>
      </c>
      <c r="E18">
        <f t="shared" si="0"/>
        <v>620634.29999999993</v>
      </c>
      <c r="F18" s="2">
        <v>41.05</v>
      </c>
      <c r="G18">
        <f t="shared" si="1"/>
        <v>592351.5</v>
      </c>
      <c r="H18" s="2">
        <v>-28282.799999999999</v>
      </c>
    </row>
    <row r="19" spans="1:8">
      <c r="A19" t="s">
        <v>30</v>
      </c>
      <c r="B19" t="s">
        <v>31</v>
      </c>
      <c r="C19" s="2">
        <v>1707</v>
      </c>
      <c r="D19" s="2">
        <v>48.419600000000003</v>
      </c>
      <c r="E19">
        <f t="shared" si="0"/>
        <v>82652.257200000007</v>
      </c>
      <c r="F19" s="2">
        <v>25.24</v>
      </c>
      <c r="G19">
        <f t="shared" si="1"/>
        <v>43084.68</v>
      </c>
      <c r="H19" s="2">
        <v>-39567.54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INDIA</cp:lastModifiedBy>
  <dcterms:created xsi:type="dcterms:W3CDTF">2026-05-04T04:46:03Z</dcterms:created>
  <dcterms:modified xsi:type="dcterms:W3CDTF">2026-06-01T08:05:14Z</dcterms:modified>
</cp:coreProperties>
</file>